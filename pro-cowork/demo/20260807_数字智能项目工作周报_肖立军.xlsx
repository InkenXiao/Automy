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Documents\工作文档\DOC-XT\2_部门资料\周报管理\项目经理周报\2026\"/>
    </mc:Choice>
  </mc:AlternateContent>
  <bookViews>
    <workbookView windowWidth="24000" windowHeight="11055"/>
  </bookViews>
  <sheets>
    <sheet name="pm肖立军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<sst xmlns="http://schemas.openxmlformats.org/spreadsheetml/2006/main" count="123" uniqueCount="70">
  <si>
    <t>【项目工作周报】 信投项目</t>
  </si>
  <si>
    <t>项目名称：</t>
  </si>
  <si>
    <t>信投运营管理系统+AI2.0建设项目</t>
  </si>
  <si>
    <t>项目经理：</t>
  </si>
  <si>
    <t>肖立军</t>
  </si>
  <si>
    <r>
      <t xml:space="preserve">        周报周期：</t>
    </r>
    <r>
      <rPr>
        <sz val="12"/>
        <rFont val="微软雅黑"/>
        <charset val="134"/>
      </rPr>
      <t>2026/08/03 - 2026/08/07</t>
    </r>
  </si>
  <si>
    <t>项目状态：</t>
  </si>
  <si>
    <t>正常推进中，预计2026年12月底验收</t>
  </si>
  <si>
    <t>本周总工时：</t>
  </si>
  <si>
    <r>
      <t xml:space="preserve">        总体进度：</t>
    </r>
    <r>
      <rPr>
        <sz val="12"/>
        <rFont val="微软雅黑"/>
        <charset val="134"/>
      </rPr>
      <t>20％</t>
    </r>
  </si>
  <si>
    <t>序号</t>
  </si>
  <si>
    <t>项目成员</t>
  </si>
  <si>
    <t>项目角色</t>
  </si>
  <si>
    <t>本周具体工作任务</t>
  </si>
  <si>
    <t>交付物 / 产出</t>
  </si>
  <si>
    <t>本周工时 (h)</t>
  </si>
  <si>
    <t>下周计划安排</t>
  </si>
  <si>
    <t>项目经理</t>
  </si>
  <si>
    <t>周一：参与PPT撰写及项目后续分工的讨论，参与人员谢总、天华总、鲍涛；
周二：对接聚荐明确知识库环境搭建和应用服务器环境迁移事项，参与人员聚荐周琦等；按马总和谢总要求修改汇报PPT方案。
周三：对接库帕思、管线等公司，处理用户账号密码及VPN登录问题，参与人员郑海灵、各家企业用户；修改汇报PPT方案；处理服务器docker容器containerd路径存储空间问题，参与人员聚荐占春峰。
周四：参加项目汇报，参与人员黄书记、戴总、章总、马总、谢总等；项目团队内部会议，同步项目进度计划、调整开发任务、分享AI赋能设计与开发，提升现场开发效率，参与人员全体人员。
周五：处理审查环境迁移问题，参与人员聚荐；整理会议纪要；整理项目周报 。</t>
  </si>
  <si>
    <t>20260806信投AI能力建设项目汇报PPT</t>
  </si>
  <si>
    <t>模型部署与环境切换： 推进 DeepSeek-V4-Flash 模型部署；完成生产环境测试与平滑切换。
试用反馈与技术对接： 驱动业务部门对外采数据源（投研派、久谦、慧博等）的试用反馈；协同研发明确 CoWork 与四级知识库的对接方案。</t>
  </si>
  <si>
    <t>产品经理</t>
  </si>
  <si>
    <t>周一：参与PPT撰写及项目后续分工的讨论，参与人员谢庆丰、王天华、肖立军、鲍涛；根据要求，更新外部知识库供应商对接进度PPT单页，参与人员肖立军、鲍涛；参与用户会议调研，了解用户的实际业务流程及诉求，参与人员许铮、王天华、鲍涛；根据调研内容，输出会议纪要，并同步至各位领导，参与人员王天华、谢庆丰、肖立军、鲍涛。
周二：梳理后续重要待办事项，与开发对接，明确累计分红、投资的历史数据导入策略，参与人员肖立军、宋迪、何林冲、鲍涛；与开发明确信投财务指标历史数据的时间端导入要求，参与人员宋迪、李阳、鲍涛；梳理干部管理、行业研究、信息填报、投后报告的功能清单，供开发评估工作量，肖立军、宋迪、鲍涛。
周三：对接投资部，获取行业研究报告案例，参与人员陈华、许铮、肖立军、鲍涛； 对接开发，明确累计分红、投资的历史数据导入分工，完成数据导入，参与人员何林冲、宋迪、鲍涛；根据与项目经理沟通的结果，明确信息填报功能的调整点，参与人员肖立军、鲍涛。
周四：根据沟通结果，调整信息填报原型，并完成同步，参与人员鲍涛；与许铮总现场沟通，明确V1.0的4个调整需求点，参与人员许铮、宋迪、鲍涛；项目团队内部会议，沟通项目团队后续AI产品设计方向以及协作方式与思路，参与人员肖立军、赵文喆、何林冲、丁思凡、张甲琪、宋迪、鲍涛。
周五：初步构思产品整体架构，参与人员鲍涛；与产品团队沟通，明确当前报告生成的困难点等功能。</t>
  </si>
  <si>
    <t>《汇报材料PPT》-外部供应商对接进度单页、《20260803信息填报Skill业务需求调研会议纪要》、《累计分红 、历史投资历史数据梳理-用户确认版》、《高优先级Skill功能清单》、《信息填报需求Html原型页面》、《20260807运营管理系统V1.0新增需求及行研报告Skill业务需求调研会议纪要》</t>
  </si>
  <si>
    <t>1、设计运营管理系统V1.0、V2.0、知识库、Cowork等的统一登录入口；2、构思运营管理系统AI统一调度入口；3、投后管理报告、信息填报功能用户确认；4、根据黄书记最新指示，计划开展新一轮需求调研；</t>
  </si>
  <si>
    <t>周一：与开发明确数据看板下钻指标功能实现情况（丁思凡、宋迪）；
周二：运营管理平台投后报告生成功能清单梳理（鲍涛、宋迪）
周三：推进新闻审核页面优化（赵文喆、宋迪）；投后管理被投企业股权变动数据导入工作（鲍涛、何林冲、宋迪）；修订业务操作手册并交付客户（宋迪）；
周四：完成投后报告生成效果评测并梳理优化方向（宋迪）；对接许铮总同步经营考核模块需求变更与行研报告需求调研（鲍涛、宋迪）；输出财务风险报告生成落地方案，团队开会讨论后续产品规划与团队协作方式（肖立军、鲍涛、开发团队、宋迪）；
周五：财务报告模板修改后提示词重构风险讨论（何林冲、赵文喆、宋迪）；明确信投本部6月份数据导入情况（李阳、宋迪）；AI 问数优化效果验收（宋迪）；</t>
  </si>
  <si>
    <t>《累计分红 、历史投资历史数据梳理-用户确认版》、投后报告功能清单、《新闻审核页面原型优化版》、《业务人员操作手册》、《投后报告生成内容优化内容》</t>
  </si>
  <si>
    <t>1.跟踪投后报告生成效果；2.工作台页面用户体验迭代优化；3.跟进运营管理系统上线。</t>
  </si>
  <si>
    <t>本周问题汇总</t>
  </si>
  <si>
    <t>安排一名测试人员到现场配合新环境和数据迁移后环境测试。</t>
  </si>
  <si>
    <t>项目总体概况</t>
  </si>
  <si>
    <t>一、 本周核心进展
方案汇报与演示： 完成本部领导汇报及原型演示，已同步优化汇报方案与 PPT。
环境部署与迁移： 启动数据库、向量库及 S3 生产环境部署与数据迁移，下周完成环境切换。
系统升级与发布： 运营管理系统升级版并提供新投后报告生成入口，完成投后数据结构整合与舆情页面优化。
需求明确与设计： 确认战投部“信息上报”需求并获取 PPT 模板；完成“信息填报”功能设计。
历史档案OCR清洗： 库帕思确认本周能完成OCR清洗，下周启动质检工作。
二、 下周重点事项
模型部署与环境切换： 推进 DeepSeek-V4-Flash 模型部署；完成生产环境测试与平滑切换。
试用反馈与技术对接： 驱动业务部门对外采数据源（投研派、久谦、慧博等）的试用反馈；协同研发明确 CoWork 与四级知识库的对接方案。
运营管理系统上线跟踪：及时响应、处理现场上线遇到的各种问题。</t>
  </si>
  <si>
    <t>【项目工作周报】 闵中心项目</t>
  </si>
  <si>
    <t>闵中心医联体运维+小程序+POC项目</t>
  </si>
  <si>
    <r>
      <rPr>
        <b/>
        <sz val="12"/>
        <rFont val="微软雅黑"/>
        <charset val="134"/>
      </rPr>
      <t xml:space="preserve">        周报周期：</t>
    </r>
    <r>
      <rPr>
        <sz val="12"/>
        <rFont val="微软雅黑"/>
        <charset val="134"/>
      </rPr>
      <t>2026/08/03 - 2026/08/07</t>
    </r>
  </si>
  <si>
    <t>正常推进中，需要尽快推进在肾内科的POC试点工作</t>
  </si>
  <si>
    <r>
      <t xml:space="preserve">        总体进度：</t>
    </r>
    <r>
      <rPr>
        <sz val="12"/>
        <rFont val="微软雅黑"/>
        <charset val="134"/>
      </rPr>
      <t>50％</t>
    </r>
  </si>
  <si>
    <t>周一：组织闵中心现场项目交接，参与人员：杨琪俊、陈啸、李孟莉、罗小平、许赟哲、宋迪、肖立军；
周三：梳理闵中心神经内科中风小程序合同完成情况及待完成的用户需求；
周五：跟进闵中心现场皮肤肿瘤筛查小程序用户反馈问题，对接肾内科确认需求，参与人员：社区上线群、许赟哲、张医生、肖立军等</t>
  </si>
  <si>
    <t>杨琪俊离职交接清单、20260806“数字疗法”小程序功能梳理</t>
  </si>
  <si>
    <t>宋迪</t>
  </si>
  <si>
    <t>周一：闵中心语音查房流程现场调研（杨琪俊、宋迪）；移动端语音查房流程核心痛点梳理（宋迪）
周二：梳理移动端语音查房全流程核心痛点（宋迪）；完成移动端、PC 端语音查房交互方案优化（宋迪）</t>
  </si>
  <si>
    <t>语音查房功能移动端、PC端流程交互设计稿</t>
  </si>
  <si>
    <t>许赟哲</t>
  </si>
  <si>
    <t>现场开发</t>
  </si>
  <si>
    <t>周一：【医联体运维】闵中心项目代码交接；【中风防治小程序】输入数值栏自动切换变成数字输入法。 
周二：【中风防治小程序】新增切换账号、更新账号信息功能，部分页面字体增大。
周三：【医联体运维】医联体下转社区新增“上海市闵行区中西医结合医院”相关信息，删除“祥瑞康复医院”和“上海百佳妇产医院”机构；【中风防治小程序】统计小程序已完成及待开发功能模块情况。
周四：【中风防治小程序】优化查询既往打卡数据，可以指定日期范围查看记录；【医联体运维】医联体相关服务器硬件使用情况信息巡检。  
周五：【医联体运维】147服务器部分后台部分服务失效问题排查；【中风防治小程序】医生的个人二维码；【中风防治小程序】康复训练视频播放改为单个视频自动轮播5次后自动跳到下一个视频。</t>
  </si>
  <si>
    <t>20260806“数字疗法”小程序功能梳理</t>
  </si>
  <si>
    <t>20260730闵中心GEMR专题会讨论的肾内科系统上线应用端代码修改工作还未启动；
神经内科反馈现场需求响应缓慢</t>
  </si>
  <si>
    <t>杨琪俊离职交接工作本周完成；
完成deepseek32b大模型升级为qwen3.6-27B模型
肾内科系统上线的工作安排正常有序推进，但进度稍晚于计划；
由于许赟哲本周参与现场的工作交接和POC试点工作，神经内科新需求开发工作无进展。</t>
  </si>
  <si>
    <t>【项目工作周报】 皮肤病医院项目</t>
  </si>
  <si>
    <t>数据要素驱动的皮肤专病精准诊疗护理联动模式的创新实践项目</t>
  </si>
  <si>
    <t>正常推进中，预计2027年10月底验收</t>
  </si>
  <si>
    <r>
      <rPr>
        <b/>
        <sz val="12"/>
        <rFont val="微软雅黑"/>
        <charset val="134"/>
      </rPr>
      <t xml:space="preserve">        总体进度：</t>
    </r>
    <r>
      <rPr>
        <sz val="12"/>
        <rFont val="微软雅黑"/>
        <charset val="134"/>
      </rPr>
      <t>65％</t>
    </r>
  </si>
  <si>
    <t>周三：对接监理和三家厂商，确认本周工作进度；整理项目例会材料同步给类先艳。
周五：修改会议纪要</t>
  </si>
  <si>
    <t>项目周报，任务清单</t>
  </si>
  <si>
    <t>参加项目例会</t>
  </si>
  <si>
    <t>类先艳</t>
  </si>
  <si>
    <t>项目负责人</t>
  </si>
  <si>
    <t>周四，参加项目例会，编写会议纪要。</t>
  </si>
  <si>
    <t>会议纪要</t>
  </si>
  <si>
    <t>仁微设备采购进度暂停，需要等智科的首付款到账后发货。</t>
  </si>
  <si>
    <t>项目整体处于系统部署、接口打通与硬件落地调试的关键阶段：
核心系统与算法：知识库与智能体已完成部署，肿瘤模型完成优化及版本差异确认；
接口与数据通路：HIS 接口对接及数据调试顺利完成，预问诊流程与 AD 初复诊问卷已确认；
硬件与现场环境：护理 IA 助手现场演示成功，待所有硬件设备进场后可以开展部署和上线。</t>
  </si>
  <si>
    <t>【项目工作周报】 静安卫健委项目</t>
  </si>
  <si>
    <t>静安卫健委POC+项目申报+比赛</t>
  </si>
  <si>
    <t>正常推进中</t>
  </si>
  <si>
    <r>
      <t xml:space="preserve">        总体进度：</t>
    </r>
    <r>
      <rPr>
        <sz val="12"/>
        <rFont val="微软雅黑"/>
        <charset val="134"/>
      </rPr>
      <t>0％</t>
    </r>
  </si>
  <si>
    <t>张赛赛</t>
  </si>
  <si>
    <t>解决方案</t>
  </si>
  <si>
    <t>1、支撑数据要素X比赛汇报PPT材料
2、支撑人工智能项目申报方案材料</t>
  </si>
  <si>
    <t>准备数据要素X和智能体项目申报材料</t>
  </si>
  <si>
    <t>1、数据要素X已进入决赛，售前团队正在配合用户准备新一轮的PPT汇报方案；
2、人工智能比赛已提交材料，等待结果中；
3、智能体项目申报第一轮材料一提交，最新的情况是用户要求准备一版不喊数据底座的版本材料。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</si>
</sst>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30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b/>
      <sz val="12"/>
      <color rgb="FFFFFFFF"/>
      <name val="微软雅黑"/>
      <charset val="134"/>
    </font>
    <font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double">
        <color rgb="FF1F4E78"/>
      </bottom>
      <diagonal/>
    </border>
    <border>
      <left/>
      <right style="thin">
        <color rgb="FFD9D9D9"/>
      </right>
      <top style="thin">
        <color rgb="FFD9D9D9"/>
      </top>
      <bottom style="double">
        <color rgb="FF1F4E78"/>
      </bottom>
      <diagonal/>
    </border>
    <border>
      <left/>
      <right/>
      <top style="thin">
        <color rgb="FFD9D9D9"/>
      </top>
      <bottom style="double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76" fontId="1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76" fontId="8" fillId="4" borderId="1" xfId="0" applyNumberFormat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topLeftCell="A7" workbookViewId="0">
      <selection activeCell="G6" sqref="G6"/>
    </sheetView>
  </sheetViews>
  <sheetFormatPr defaultColWidth="9" defaultRowHeight="15" outlineLevelCol="6"/>
  <cols>
    <col min="1" max="1" width="8.72566371681416" style="4"/>
    <col min="2" max="3" width="14.7256637168142" style="4" customWidth="1"/>
    <col min="4" max="4" width="64.4513274336283" style="4" customWidth="1"/>
    <col min="5" max="5" width="19.7256637168142" style="4" customWidth="1"/>
    <col min="6" max="6" width="16.4513274336283" style="5" customWidth="1"/>
    <col min="7" max="7" width="56.4513274336283" style="4" customWidth="1"/>
    <col min="8" max="8" width="8.72566371681416" style="4"/>
    <col min="9" max="9" width="17.6548672566372" style="4" customWidth="1"/>
    <col min="10" max="16384" width="8.72566371681416" style="4"/>
  </cols>
  <sheetData>
    <row r="1" ht="22.85" spans="1:7">
      <c r="A1" s="6" t="s">
        <v>0</v>
      </c>
      <c r="B1" s="6"/>
      <c r="C1" s="6"/>
      <c r="D1" s="6"/>
      <c r="E1" s="6"/>
      <c r="F1" s="6"/>
      <c r="G1" s="6"/>
    </row>
    <row r="2" ht="16.9" spans="1:7">
      <c r="A2" s="7" t="s">
        <v>1</v>
      </c>
      <c r="B2" s="7"/>
      <c r="C2" s="8" t="s">
        <v>2</v>
      </c>
      <c r="D2" s="8"/>
      <c r="E2" s="7" t="s">
        <v>3</v>
      </c>
      <c r="F2" s="9" t="s">
        <v>4</v>
      </c>
      <c r="G2" s="10" t="s">
        <v>5</v>
      </c>
    </row>
    <row r="3" s="1" customFormat="1" ht="16.9" spans="1:7">
      <c r="A3" s="7" t="s">
        <v>6</v>
      </c>
      <c r="B3" s="7"/>
      <c r="C3" s="8" t="s">
        <v>7</v>
      </c>
      <c r="D3" s="8"/>
      <c r="E3" s="7" t="s">
        <v>8</v>
      </c>
      <c r="F3" s="11">
        <f>F6+F7+F8+F9+F10</f>
        <v>84</v>
      </c>
      <c r="G3" s="10" t="s">
        <v>9</v>
      </c>
    </row>
    <row r="5" s="2" customFormat="1" ht="16.9" spans="1:7">
      <c r="A5" s="12" t="s">
        <v>10</v>
      </c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15</v>
      </c>
      <c r="G5" s="12" t="s">
        <v>16</v>
      </c>
    </row>
    <row r="6" s="3" customFormat="1" ht="150" customHeight="1" spans="1:7">
      <c r="A6" s="13">
        <v>1</v>
      </c>
      <c r="B6" s="13" t="s">
        <v>4</v>
      </c>
      <c r="C6" s="13" t="s">
        <v>17</v>
      </c>
      <c r="D6" s="14" t="s">
        <v>18</v>
      </c>
      <c r="E6" s="15" t="s">
        <v>19</v>
      </c>
      <c r="F6" s="16">
        <v>20</v>
      </c>
      <c r="G6" s="15" t="s">
        <v>20</v>
      </c>
    </row>
    <row r="7" s="3" customFormat="1" ht="263.25" spans="1:7">
      <c r="A7" s="17">
        <v>2</v>
      </c>
      <c r="B7" s="17"/>
      <c r="C7" s="17" t="s">
        <v>21</v>
      </c>
      <c r="D7" s="14" t="s">
        <v>22</v>
      </c>
      <c r="E7" s="14" t="s">
        <v>23</v>
      </c>
      <c r="F7" s="18">
        <v>40</v>
      </c>
      <c r="G7" s="14" t="s">
        <v>24</v>
      </c>
    </row>
    <row r="8" s="3" customFormat="1" ht="152.65" spans="1:7">
      <c r="A8" s="13">
        <v>3</v>
      </c>
      <c r="B8" s="13"/>
      <c r="C8" s="13" t="s">
        <v>21</v>
      </c>
      <c r="D8" s="15" t="s">
        <v>25</v>
      </c>
      <c r="E8" s="15" t="s">
        <v>26</v>
      </c>
      <c r="F8" s="16">
        <v>24</v>
      </c>
      <c r="G8" s="15" t="s">
        <v>27</v>
      </c>
    </row>
    <row r="9" s="3" customFormat="1" ht="13.85" spans="1:7">
      <c r="A9" s="17">
        <v>4</v>
      </c>
      <c r="B9" s="17"/>
      <c r="C9" s="17"/>
      <c r="D9" s="14"/>
      <c r="E9" s="14"/>
      <c r="F9" s="18"/>
      <c r="G9" s="14"/>
    </row>
    <row r="10" s="3" customFormat="1" ht="13.85" spans="1:7">
      <c r="A10" s="13">
        <v>5</v>
      </c>
      <c r="B10" s="13"/>
      <c r="C10" s="13"/>
      <c r="D10" s="15"/>
      <c r="E10" s="15"/>
      <c r="F10" s="16"/>
      <c r="G10" s="15"/>
    </row>
    <row r="11" s="3" customFormat="1" ht="28" customHeight="1" spans="1:7">
      <c r="A11" s="19" t="s">
        <v>28</v>
      </c>
      <c r="B11" s="20"/>
      <c r="C11" s="21" t="s">
        <v>29</v>
      </c>
      <c r="D11" s="22"/>
      <c r="E11" s="22"/>
      <c r="F11" s="22"/>
      <c r="G11" s="23"/>
    </row>
    <row r="12" ht="152" customHeight="1" spans="1:7">
      <c r="A12" s="19" t="s">
        <v>30</v>
      </c>
      <c r="B12" s="20"/>
      <c r="C12" s="21" t="s">
        <v>31</v>
      </c>
      <c r="D12" s="22"/>
      <c r="E12" s="22"/>
      <c r="F12" s="22"/>
      <c r="G12" s="23"/>
    </row>
    <row r="13" ht="15.75"/>
    <row r="14" ht="22.85" spans="1:7">
      <c r="A14" s="6" t="s">
        <v>32</v>
      </c>
      <c r="B14" s="6"/>
      <c r="C14" s="6"/>
      <c r="D14" s="6"/>
      <c r="E14" s="6"/>
      <c r="F14" s="6"/>
      <c r="G14" s="6"/>
    </row>
    <row r="15" ht="16.9" spans="1:7">
      <c r="A15" s="7" t="s">
        <v>1</v>
      </c>
      <c r="B15" s="7"/>
      <c r="C15" s="8" t="s">
        <v>33</v>
      </c>
      <c r="D15" s="8"/>
      <c r="E15" s="7" t="s">
        <v>3</v>
      </c>
      <c r="F15" s="9" t="s">
        <v>4</v>
      </c>
      <c r="G15" s="10" t="s">
        <v>34</v>
      </c>
    </row>
    <row r="16" ht="16.9" spans="1:7">
      <c r="A16" s="7" t="s">
        <v>6</v>
      </c>
      <c r="B16" s="7"/>
      <c r="C16" s="8" t="s">
        <v>35</v>
      </c>
      <c r="D16" s="8"/>
      <c r="E16" s="7" t="s">
        <v>8</v>
      </c>
      <c r="F16" s="11">
        <f>F19+F20+F21+F22+F23</f>
        <v>72</v>
      </c>
      <c r="G16" s="10" t="s">
        <v>36</v>
      </c>
    </row>
    <row r="18" ht="16.9" spans="1:7">
      <c r="A18" s="12" t="s">
        <v>10</v>
      </c>
      <c r="B18" s="12" t="s">
        <v>11</v>
      </c>
      <c r="C18" s="12" t="s">
        <v>12</v>
      </c>
      <c r="D18" s="12" t="s">
        <v>13</v>
      </c>
      <c r="E18" s="12" t="s">
        <v>14</v>
      </c>
      <c r="F18" s="12" t="s">
        <v>15</v>
      </c>
      <c r="G18" s="12" t="s">
        <v>16</v>
      </c>
    </row>
    <row r="19" ht="81" customHeight="1" spans="1:7">
      <c r="A19" s="13">
        <v>1</v>
      </c>
      <c r="B19" s="13" t="s">
        <v>4</v>
      </c>
      <c r="C19" s="13" t="s">
        <v>17</v>
      </c>
      <c r="D19" s="15" t="s">
        <v>37</v>
      </c>
      <c r="E19" s="15" t="s">
        <v>38</v>
      </c>
      <c r="F19" s="16">
        <v>16</v>
      </c>
      <c r="G19" s="15"/>
    </row>
    <row r="20" ht="55.5" spans="1:7">
      <c r="A20" s="17">
        <v>2</v>
      </c>
      <c r="B20" s="17" t="s">
        <v>39</v>
      </c>
      <c r="C20" s="17" t="s">
        <v>21</v>
      </c>
      <c r="D20" s="14" t="s">
        <v>40</v>
      </c>
      <c r="E20" s="14" t="s">
        <v>41</v>
      </c>
      <c r="F20" s="18">
        <v>16</v>
      </c>
      <c r="G20" s="14"/>
    </row>
    <row r="21" ht="166.5" spans="1:7">
      <c r="A21" s="13">
        <v>3</v>
      </c>
      <c r="B21" s="13" t="s">
        <v>42</v>
      </c>
      <c r="C21" s="13" t="s">
        <v>43</v>
      </c>
      <c r="D21" s="15" t="s">
        <v>44</v>
      </c>
      <c r="E21" s="15" t="s">
        <v>45</v>
      </c>
      <c r="F21" s="16">
        <v>40</v>
      </c>
      <c r="G21" s="15"/>
    </row>
    <row r="22" spans="1:7">
      <c r="A22" s="17">
        <v>4</v>
      </c>
      <c r="B22" s="17"/>
      <c r="C22" s="17"/>
      <c r="D22" s="14"/>
      <c r="E22" s="14"/>
      <c r="F22" s="18"/>
      <c r="G22" s="14"/>
    </row>
    <row r="23" spans="1:7">
      <c r="A23" s="13">
        <v>5</v>
      </c>
      <c r="B23" s="13"/>
      <c r="C23" s="13"/>
      <c r="D23" s="15"/>
      <c r="E23" s="15"/>
      <c r="F23" s="16"/>
      <c r="G23" s="15"/>
    </row>
    <row r="24" ht="52" customHeight="1" spans="1:7">
      <c r="A24" s="19" t="s">
        <v>28</v>
      </c>
      <c r="B24" s="20"/>
      <c r="C24" s="21" t="s">
        <v>46</v>
      </c>
      <c r="D24" s="22"/>
      <c r="E24" s="22"/>
      <c r="F24" s="22"/>
      <c r="G24" s="23"/>
    </row>
    <row r="25" ht="87" customHeight="1" spans="1:7">
      <c r="A25" s="19" t="s">
        <v>30</v>
      </c>
      <c r="B25" s="20"/>
      <c r="C25" s="21" t="s">
        <v>47</v>
      </c>
      <c r="D25" s="22"/>
      <c r="E25" s="22"/>
      <c r="F25" s="22"/>
      <c r="G25" s="23"/>
    </row>
    <row r="27" ht="22.85" spans="1:7">
      <c r="A27" s="6" t="s">
        <v>48</v>
      </c>
      <c r="B27" s="6"/>
      <c r="C27" s="6"/>
      <c r="D27" s="6"/>
      <c r="E27" s="6"/>
      <c r="F27" s="6"/>
      <c r="G27" s="6"/>
    </row>
    <row r="28" ht="16.9" spans="1:7">
      <c r="A28" s="7" t="s">
        <v>1</v>
      </c>
      <c r="B28" s="7"/>
      <c r="C28" s="8" t="s">
        <v>49</v>
      </c>
      <c r="D28" s="8"/>
      <c r="E28" s="7" t="s">
        <v>3</v>
      </c>
      <c r="F28" s="9" t="s">
        <v>4</v>
      </c>
      <c r="G28" s="10" t="s">
        <v>34</v>
      </c>
    </row>
    <row r="29" ht="16.9" spans="1:7">
      <c r="A29" s="7" t="s">
        <v>6</v>
      </c>
      <c r="B29" s="7"/>
      <c r="C29" s="8" t="s">
        <v>50</v>
      </c>
      <c r="D29" s="8"/>
      <c r="E29" s="7" t="s">
        <v>8</v>
      </c>
      <c r="F29" s="11">
        <f>F32+F33+F34+F35+F36</f>
        <v>8</v>
      </c>
      <c r="G29" s="10" t="s">
        <v>51</v>
      </c>
    </row>
    <row r="31" ht="16.9" spans="1:7">
      <c r="A31" s="12" t="s">
        <v>10</v>
      </c>
      <c r="B31" s="12" t="s">
        <v>11</v>
      </c>
      <c r="C31" s="12" t="s">
        <v>12</v>
      </c>
      <c r="D31" s="12" t="s">
        <v>13</v>
      </c>
      <c r="E31" s="12" t="s">
        <v>14</v>
      </c>
      <c r="F31" s="12" t="s">
        <v>15</v>
      </c>
      <c r="G31" s="12" t="s">
        <v>16</v>
      </c>
    </row>
    <row r="32" ht="41.65" spans="1:7">
      <c r="A32" s="13">
        <v>1</v>
      </c>
      <c r="B32" s="13" t="s">
        <v>4</v>
      </c>
      <c r="C32" s="13" t="s">
        <v>17</v>
      </c>
      <c r="D32" s="15" t="s">
        <v>52</v>
      </c>
      <c r="E32" s="15" t="s">
        <v>53</v>
      </c>
      <c r="F32" s="16">
        <v>4</v>
      </c>
      <c r="G32" s="15" t="s">
        <v>54</v>
      </c>
    </row>
    <row r="33" ht="32" customHeight="1" spans="1:7">
      <c r="A33" s="17">
        <v>2</v>
      </c>
      <c r="B33" s="17" t="s">
        <v>55</v>
      </c>
      <c r="C33" s="17" t="s">
        <v>56</v>
      </c>
      <c r="D33" s="14" t="s">
        <v>57</v>
      </c>
      <c r="E33" s="14" t="s">
        <v>58</v>
      </c>
      <c r="F33" s="18">
        <v>4</v>
      </c>
      <c r="G33" s="14"/>
    </row>
    <row r="34" spans="1:7">
      <c r="A34" s="13">
        <v>3</v>
      </c>
      <c r="B34" s="13"/>
      <c r="C34" s="13"/>
      <c r="D34" s="15"/>
      <c r="E34" s="15"/>
      <c r="F34" s="16"/>
      <c r="G34" s="15"/>
    </row>
    <row r="35" spans="1:7">
      <c r="A35" s="17">
        <v>4</v>
      </c>
      <c r="B35" s="17"/>
      <c r="C35" s="17"/>
      <c r="D35" s="14"/>
      <c r="E35" s="14"/>
      <c r="F35" s="18"/>
      <c r="G35" s="14"/>
    </row>
    <row r="36" spans="1:7">
      <c r="A36" s="13">
        <v>5</v>
      </c>
      <c r="B36" s="13"/>
      <c r="C36" s="13"/>
      <c r="D36" s="15"/>
      <c r="E36" s="15"/>
      <c r="F36" s="16"/>
      <c r="G36" s="15"/>
    </row>
    <row r="37" ht="34" customHeight="1" spans="1:7">
      <c r="A37" s="19" t="s">
        <v>28</v>
      </c>
      <c r="B37" s="20"/>
      <c r="C37" s="21" t="s">
        <v>59</v>
      </c>
      <c r="D37" s="22"/>
      <c r="E37" s="22"/>
      <c r="F37" s="22"/>
      <c r="G37" s="23"/>
    </row>
    <row r="38" ht="73" customHeight="1" spans="1:7">
      <c r="A38" s="19" t="s">
        <v>30</v>
      </c>
      <c r="B38" s="20"/>
      <c r="C38" s="21" t="s">
        <v>60</v>
      </c>
      <c r="D38" s="22"/>
      <c r="E38" s="22"/>
      <c r="F38" s="22"/>
      <c r="G38" s="23"/>
    </row>
    <row r="39" ht="15.75"/>
    <row r="40" ht="22.85" spans="1:7">
      <c r="A40" s="6" t="s">
        <v>61</v>
      </c>
      <c r="B40" s="6"/>
      <c r="C40" s="6"/>
      <c r="D40" s="6"/>
      <c r="E40" s="6"/>
      <c r="F40" s="6"/>
      <c r="G40" s="6"/>
    </row>
    <row r="41" ht="16.9" spans="1:7">
      <c r="A41" s="7" t="s">
        <v>1</v>
      </c>
      <c r="B41" s="7"/>
      <c r="C41" s="8" t="s">
        <v>62</v>
      </c>
      <c r="D41" s="8"/>
      <c r="E41" s="7" t="s">
        <v>3</v>
      </c>
      <c r="F41" s="9" t="s">
        <v>4</v>
      </c>
      <c r="G41" s="10" t="s">
        <v>34</v>
      </c>
    </row>
    <row r="42" ht="16.9" spans="1:7">
      <c r="A42" s="7" t="s">
        <v>6</v>
      </c>
      <c r="B42" s="7"/>
      <c r="C42" s="8" t="s">
        <v>63</v>
      </c>
      <c r="D42" s="8"/>
      <c r="E42" s="7" t="s">
        <v>8</v>
      </c>
      <c r="F42" s="11">
        <f>F45+F46+F47+F48+F49</f>
        <v>0</v>
      </c>
      <c r="G42" s="10" t="s">
        <v>64</v>
      </c>
    </row>
    <row r="44" ht="16.9" spans="1:7">
      <c r="A44" s="12" t="s">
        <v>10</v>
      </c>
      <c r="B44" s="12" t="s">
        <v>11</v>
      </c>
      <c r="C44" s="12" t="s">
        <v>12</v>
      </c>
      <c r="D44" s="12" t="s">
        <v>13</v>
      </c>
      <c r="E44" s="12" t="s">
        <v>14</v>
      </c>
      <c r="F44" s="12" t="s">
        <v>15</v>
      </c>
      <c r="G44" s="12" t="s">
        <v>16</v>
      </c>
    </row>
    <row r="45" spans="1:7">
      <c r="A45" s="13">
        <v>1</v>
      </c>
      <c r="B45" s="13" t="s">
        <v>4</v>
      </c>
      <c r="C45" s="13" t="s">
        <v>17</v>
      </c>
      <c r="D45" s="15"/>
      <c r="E45" s="15"/>
      <c r="F45" s="16">
        <v>0</v>
      </c>
      <c r="G45" s="15"/>
    </row>
    <row r="46" ht="27.75" spans="1:7">
      <c r="A46" s="17">
        <v>2</v>
      </c>
      <c r="B46" s="17" t="s">
        <v>65</v>
      </c>
      <c r="C46" s="17" t="s">
        <v>66</v>
      </c>
      <c r="D46" s="14" t="s">
        <v>67</v>
      </c>
      <c r="E46" s="14"/>
      <c r="F46" s="18">
        <v>0</v>
      </c>
      <c r="G46" s="14" t="s">
        <v>68</v>
      </c>
    </row>
    <row r="47" spans="1:7">
      <c r="A47" s="13">
        <v>3</v>
      </c>
      <c r="B47" s="13"/>
      <c r="C47" s="13"/>
      <c r="D47" s="15"/>
      <c r="E47" s="15"/>
      <c r="F47" s="16"/>
      <c r="G47" s="15"/>
    </row>
    <row r="48" spans="1:7">
      <c r="A48" s="17">
        <v>4</v>
      </c>
      <c r="B48" s="17"/>
      <c r="C48" s="17"/>
      <c r="D48" s="14"/>
      <c r="E48" s="14"/>
      <c r="F48" s="18"/>
      <c r="G48" s="14"/>
    </row>
    <row r="49" spans="1:7">
      <c r="A49" s="13">
        <v>5</v>
      </c>
      <c r="B49" s="13"/>
      <c r="C49" s="13"/>
      <c r="D49" s="15"/>
      <c r="E49" s="15"/>
      <c r="F49" s="16"/>
      <c r="G49" s="15"/>
    </row>
    <row r="50" ht="41" customHeight="1" spans="1:7">
      <c r="A50" s="19" t="s">
        <v>28</v>
      </c>
      <c r="B50" s="20"/>
      <c r="C50" s="21"/>
      <c r="D50" s="22"/>
      <c r="E50" s="22"/>
      <c r="F50" s="22"/>
      <c r="G50" s="23"/>
    </row>
    <row r="51" ht="83" customHeight="1" spans="1:7">
      <c r="A51" s="19" t="s">
        <v>30</v>
      </c>
      <c r="B51" s="20"/>
      <c r="C51" s="21" t="s">
        <v>69</v>
      </c>
      <c r="D51" s="22"/>
      <c r="E51" s="22"/>
      <c r="F51" s="22"/>
      <c r="G51" s="23"/>
    </row>
    <row r="52" ht="15.75"/>
  </sheetData>
  <mergeCells count="36">
    <mergeCell ref="A1:G1"/>
    <mergeCell ref="A2:B2"/>
    <mergeCell ref="C2:D2"/>
    <mergeCell ref="A3:B3"/>
    <mergeCell ref="C3:D3"/>
    <mergeCell ref="A11:B11"/>
    <mergeCell ref="C11:G11"/>
    <mergeCell ref="A12:B12"/>
    <mergeCell ref="C12:G12"/>
    <mergeCell ref="A14:G14"/>
    <mergeCell ref="A15:B15"/>
    <mergeCell ref="C15:D15"/>
    <mergeCell ref="A16:B16"/>
    <mergeCell ref="C16:D16"/>
    <mergeCell ref="A24:B24"/>
    <mergeCell ref="C24:G24"/>
    <mergeCell ref="A25:B25"/>
    <mergeCell ref="C25:G25"/>
    <mergeCell ref="A27:G27"/>
    <mergeCell ref="A28:B28"/>
    <mergeCell ref="C28:D28"/>
    <mergeCell ref="A29:B29"/>
    <mergeCell ref="C29:D29"/>
    <mergeCell ref="A37:B37"/>
    <mergeCell ref="C37:G37"/>
    <mergeCell ref="A38:B38"/>
    <mergeCell ref="C38:G38"/>
    <mergeCell ref="A40:G40"/>
    <mergeCell ref="A41:B41"/>
    <mergeCell ref="C41:D41"/>
    <mergeCell ref="A42:B42"/>
    <mergeCell ref="C42:D42"/>
    <mergeCell ref="A50:B50"/>
    <mergeCell ref="C50:G50"/>
    <mergeCell ref="A51:B51"/>
    <mergeCell ref="C51:G5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pm肖立军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马慧颖</dc:creator>
  <cp:lastModifiedBy>肖立军</cp:lastModifiedBy>
  <dcterms:created xsi:type="dcterms:W3CDTF">2023-05-12T11:15:00Z</dcterms:created>
  <dcterms:modified xsi:type="dcterms:W3CDTF">2026-08-07T07:37:58Z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F3355F1F851E4A33A123ECBC4A8A307D_13</vt:lpwstr>
  </property>
  <property fmtid="{D5CDD505-2E9C-101B-9397-08002B2CF9AE}" pid="4" name="CalculationRule">
    <vt:i4>0</vt:i4>
  </property>
</Properties>
</file>